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istrator\Documents\Microsoft Excel Projects\"/>
    </mc:Choice>
  </mc:AlternateContent>
  <xr:revisionPtr revIDLastSave="0" documentId="13_ncr:1_{05550F99-E1B3-4AE3-9188-9D5192432A0D}" xr6:coauthVersionLast="47" xr6:coauthVersionMax="47" xr10:uidLastSave="{00000000-0000-0000-0000-000000000000}"/>
  <bookViews>
    <workbookView xWindow="-108" yWindow="-108" windowWidth="30936" windowHeight="16896" xr2:uid="{CC5A7696-2B38-421A-9467-406FA2F91F00}"/>
  </bookViews>
  <sheets>
    <sheet name="Input" sheetId="1" r:id="rId1"/>
    <sheet name="Calculator" sheetId="4" r:id="rId2"/>
    <sheet name="Validations" sheetId="2" r:id="rId3"/>
  </sheets>
  <definedNames>
    <definedName name="_xlpm.calc" hidden="1" xlm="1">#NAME?</definedName>
    <definedName name="_xlpm.elec" hidden="1" xlm="1">#NAME?</definedName>
    <definedName name="Budget">Calculator!$M$3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4" l="1"/>
  <c r="C16" i="4"/>
  <c r="C13" i="4" l="1" a="1"/>
  <c r="C13" i="4" s="1"/>
  <c r="C6" i="4"/>
  <c r="C7" i="4"/>
  <c r="C9" i="4" a="1"/>
  <c r="C9" i="4" s="1"/>
  <c r="C12" i="4" a="1"/>
  <c r="C12" i="4" s="1"/>
  <c r="C8" i="4"/>
  <c r="E3" i="4" a="1"/>
  <c r="E3" i="4" s="1"/>
  <c r="C1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<sst xmlns="http://schemas.openxmlformats.org/spreadsheetml/2006/main" count="367" uniqueCount="85">
  <si>
    <t>Item</t>
  </si>
  <si>
    <t>Category</t>
  </si>
  <si>
    <t>Amount</t>
  </si>
  <si>
    <t>Account</t>
  </si>
  <si>
    <t>Status</t>
  </si>
  <si>
    <t>Housing</t>
  </si>
  <si>
    <t>Utilities</t>
  </si>
  <si>
    <t>Home Setup</t>
  </si>
  <si>
    <t>Appliances</t>
  </si>
  <si>
    <t>Kitchenwares</t>
  </si>
  <si>
    <t>Hygiene</t>
  </si>
  <si>
    <t>Groceries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</si>
  <si>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</si>
  <si>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</si>
  <si>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</si>
  <si>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</si>
  <si>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</si>
  <si>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</si>
  <si>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</si>
  <si>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</si>
  <si>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</si>
  <si>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</si>
  <si>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</si>
  <si>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</si>
  <si>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</si>
  <si>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</si>
  <si>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Year</t>
  </si>
  <si>
    <t>Raven</t>
  </si>
  <si>
    <t>Cherry</t>
  </si>
  <si>
    <t>Paid</t>
  </si>
  <si>
    <t>Unpaid</t>
  </si>
  <si>
    <t>Installment</t>
  </si>
  <si>
    <t>Item:</t>
  </si>
  <si>
    <t>Category:</t>
  </si>
  <si>
    <t>Amount:</t>
  </si>
  <si>
    <t>Due Month:</t>
  </si>
  <si>
    <t>Due Day:</t>
  </si>
  <si>
    <t>Due Year:</t>
  </si>
  <si>
    <t>Account:</t>
  </si>
  <si>
    <t>Status:</t>
  </si>
  <si>
    <t>Months to Pay:</t>
  </si>
  <si>
    <t>1 of 3</t>
  </si>
  <si>
    <t>2 of 3</t>
  </si>
  <si>
    <t>3 of 3</t>
  </si>
  <si>
    <t>Due Date</t>
  </si>
  <si>
    <t>Matress</t>
  </si>
  <si>
    <t>E-Fan</t>
  </si>
  <si>
    <t>Pillow</t>
  </si>
  <si>
    <t>Water Container</t>
  </si>
  <si>
    <t>LED Bulb</t>
  </si>
  <si>
    <t>Rice Cooker</t>
  </si>
  <si>
    <t>Bed Sheet</t>
  </si>
  <si>
    <t>Hanger</t>
  </si>
  <si>
    <t>Mop</t>
  </si>
  <si>
    <t>E-Kettle</t>
  </si>
  <si>
    <t>E-Cooker</t>
  </si>
  <si>
    <t>Washing Machine</t>
  </si>
  <si>
    <t>Kitchen Rack</t>
  </si>
  <si>
    <t>Dish Drainer</t>
  </si>
  <si>
    <t>Mr. DIY</t>
  </si>
  <si>
    <t>1 of 1</t>
  </si>
  <si>
    <t>Sako Bag</t>
  </si>
  <si>
    <t>Lipstick</t>
  </si>
  <si>
    <t xml:space="preserve">Month: </t>
  </si>
  <si>
    <t xml:space="preserve">Day: </t>
  </si>
  <si>
    <t xml:space="preserve">Account: </t>
  </si>
  <si>
    <t xml:space="preserve">Rent: </t>
  </si>
  <si>
    <t xml:space="preserve">Electric: </t>
  </si>
  <si>
    <t xml:space="preserve">Water: </t>
  </si>
  <si>
    <t xml:space="preserve">Expenses: </t>
  </si>
  <si>
    <t xml:space="preserve">Total Amount: </t>
  </si>
  <si>
    <t xml:space="preserve">Unpaid Expenses: </t>
  </si>
  <si>
    <t xml:space="preserve">Total Unpaid Amount: </t>
  </si>
  <si>
    <t>Curtain Clip</t>
  </si>
  <si>
    <t>E-Fan (DC)</t>
  </si>
  <si>
    <t>Chair</t>
  </si>
  <si>
    <t>Dining Table</t>
  </si>
  <si>
    <t xml:space="preserve">Expense Budget: </t>
  </si>
  <si>
    <t xml:space="preserve">Budget Variance: </t>
  </si>
  <si>
    <t>Budget</t>
  </si>
  <si>
    <t>Others</t>
  </si>
  <si>
    <t>Gadgets</t>
  </si>
  <si>
    <t>Rent</t>
  </si>
  <si>
    <t>Electric</t>
  </si>
  <si>
    <t>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</si>
</sst>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?#,##0.00"/>
    <numFmt numFmtId="165" formatCode="[$PHP]\ #,##0.00"/>
    <numFmt numFmtId="166" formatCode="[$-409]d\-mmm\-yyyy;@"/>
    <numFmt numFmtId="167" formatCode="yyyy\-mm\-dd;@"/>
    <numFmt numFmtId="168" formatCode="yyyy\-mm\-dd"/>
    <numFmt numFmtId="169" formatCode="d"/>
    <numFmt numFmtId="170" formatCode="mmmm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 tint="4.9989318521683403E-2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4" fillId="4" borderId="2" applyNumberFormat="0" applyFont="0" applyAlignment="0" applyProtection="0"/>
  </cellStyleXfs>
  <cellXfs count="27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165" fontId="1" fillId="0" borderId="0" xfId="0" applyNumberFormat="1" applyFont="1"/>
    <xf numFmtId="165" fontId="0" fillId="0" borderId="0" xfId="0" applyNumberFormat="1"/>
    <xf numFmtId="165" fontId="0" fillId="0" borderId="0" xfId="0" applyNumberFormat="1" applyAlignment="1">
      <alignment horizontal="left"/>
    </xf>
    <xf numFmtId="0" fontId="1" fillId="3" borderId="1" xfId="1" applyFont="1" applyFill="1" applyAlignment="1">
      <alignment horizontal="left"/>
    </xf>
    <xf numFmtId="0" fontId="0" fillId="0" borderId="0" xfId="0" applyAlignment="1">
      <alignment horizontal="left" vertical="top"/>
    </xf>
    <xf numFmtId="0" fontId="1" fillId="0" borderId="0" xfId="0" applyFont="1" applyAlignment="1">
      <alignment horizontal="left" vertical="top"/>
    </xf>
    <xf numFmtId="165" fontId="1" fillId="0" borderId="0" xfId="0" applyNumberFormat="1" applyFont="1" applyAlignment="1">
      <alignment horizontal="left" vertical="top"/>
    </xf>
    <xf numFmtId="166" fontId="1" fillId="0" borderId="0" xfId="0" applyNumberFormat="1" applyFont="1" applyAlignment="1">
      <alignment horizontal="left" vertical="top"/>
    </xf>
    <xf numFmtId="167" fontId="0" fillId="0" borderId="0" xfId="0" applyNumberFormat="1"/>
    <xf numFmtId="167" fontId="1" fillId="0" borderId="0" xfId="0" applyNumberFormat="1" applyFont="1"/>
    <xf numFmtId="165" fontId="0" fillId="0" borderId="0" xfId="0" applyNumberFormat="1" applyAlignment="1">
      <alignment horizontal="left" vertical="top"/>
    </xf>
    <xf numFmtId="166" fontId="0" fillId="0" borderId="0" xfId="0" applyNumberFormat="1" applyAlignment="1">
      <alignment horizontal="left" vertical="top"/>
    </xf>
    <xf numFmtId="166" fontId="0" fillId="0" borderId="0" xfId="0" applyNumberFormat="1" applyAlignment="1">
      <alignment horizontal="left"/>
    </xf>
    <xf numFmtId="168" fontId="0" fillId="0" borderId="0" xfId="0" applyNumberFormat="1"/>
    <xf numFmtId="0" fontId="1" fillId="0" borderId="0" xfId="0" applyFont="1" applyAlignment="1">
      <alignment horizontal="right" vertical="top"/>
    </xf>
    <xf numFmtId="170" fontId="1" fillId="0" borderId="0" xfId="0" applyNumberFormat="1" applyFont="1"/>
    <xf numFmtId="170" fontId="0" fillId="0" borderId="0" xfId="0" applyNumberFormat="1"/>
    <xf numFmtId="169" fontId="1" fillId="0" borderId="0" xfId="0" applyNumberFormat="1" applyFont="1"/>
    <xf numFmtId="169" fontId="0" fillId="0" borderId="0" xfId="0" applyNumberFormat="1"/>
    <xf numFmtId="165" fontId="5" fillId="5" borderId="1" xfId="1" applyNumberFormat="1" applyFont="1" applyFill="1" applyAlignment="1">
      <alignment horizontal="left"/>
    </xf>
    <xf numFmtId="169" fontId="5" fillId="5" borderId="1" xfId="1" applyNumberFormat="1" applyFont="1" applyFill="1" applyAlignment="1">
      <alignment horizontal="left"/>
    </xf>
    <xf numFmtId="165" fontId="1" fillId="4" borderId="2" xfId="2" applyNumberFormat="1" applyFont="1" applyAlignment="1">
      <alignment horizontal="left"/>
    </xf>
  </cellXfs>
  <cellStyles count="3">
    <cellStyle name="Check Cell" xfId="1" builtinId="23"/>
    <cellStyle name="Normal" xfId="0" builtinId="0"/>
    <cellStyle name="Note" xfId="2" builtinId="10"/>
  </cellStyles>
  <dxfs count="1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</font>
      <fill>
        <gradientFill degree="90">
          <stop position="0">
            <color theme="0"/>
          </stop>
          <stop position="1">
            <color rgb="FFFF7C80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numFmt numFmtId="168" formatCode="yyyy\-mm\-dd"/>
    </dxf>
    <dxf>
      <numFmt numFmtId="164" formatCode="?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220264</xdr:colOff>
      <xdr:row>10</xdr:row>
      <xdr:rowOff>53577</xdr:rowOff>
    </xdr:from>
    <xdr:to>
      <xdr:col>3</xdr:col>
      <xdr:colOff>7326</xdr:colOff>
      <xdr:row>11</xdr:row>
      <xdr:rowOff>157655</xdr:rowOff>
    </xdr:to>
    <xdr:sp macro="[0]!Submit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9A3CA48-DF8E-6EE3-5D17-B2B8F6004350}"/>
            </a:ext>
          </a:extLst>
        </xdr:cNvPr>
        <xdr:cNvSpPr/>
      </xdr:nvSpPr>
      <xdr:spPr>
        <a:xfrm>
          <a:off x="828399" y="2163731"/>
          <a:ext cx="2021773" cy="30190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Enter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E1ACB2-7457-4A0C-9897-E608E8624C29}" name="Data" displayName="Data" ref="E2:K59" totalsRowShown="0" headerRowDxfId="10">
  <sortState xmlns:xlrd2="http://schemas.microsoft.com/office/spreadsheetml/2017/richdata2" ref="E3:K59">
    <sortCondition ref="H4:H59"/>
  </sortState>
  <tableColumns count="7">
    <tableColumn id="1" xr3:uid="{9B631307-0D60-4A64-87D8-B467FB708137}" name="Item"/>
    <tableColumn id="2" xr3:uid="{4D2979C3-0365-45E1-8F09-EDF079DE8CAB}" name="Category"/>
    <tableColumn id="3" xr3:uid="{0101347B-6A1E-4AC8-900F-8B0FEBE84383}" name="Amount" dataDxfId="9"/>
    <tableColumn id="4" xr3:uid="{7517C4F8-595E-4908-B178-BE32048B8CB6}" name="Due Date" dataDxfId="8"/>
    <tableColumn id="5" xr3:uid="{2A7EDC01-1E26-4BD3-80FF-50CAC3D24B64}" name="Account"/>
    <tableColumn id="6" xr3:uid="{17A69DCD-9324-4717-B87B-385CE676D66D}" name="Status"/>
    <tableColumn id="7" xr3:uid="{9A55853B-2675-407B-87B5-19A53DE30388}" name="Installm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63B1B21-CC94-4FF9-80C3-2309415CFE27}" name="FixedCost" displayName="FixedCost" ref="N2:Q5" totalsRowShown="0" headerRowDxfId="5" dataDxfId="4">
  <autoFilter ref="N2:Q5" xr:uid="{963B1B21-CC94-4FF9-80C3-2309415CFE27}"/>
  <tableColumns count="4">
    <tableColumn id="1" xr3:uid="{9D1AD0D7-3BB8-4B45-8D69-F792338332A2}" name="Item" dataDxfId="3"/>
    <tableColumn id="2" xr3:uid="{A5CF01C5-446D-4581-B27A-9C257A4A172D}" name="Category" dataDxfId="2"/>
    <tableColumn id="3" xr3:uid="{6D380E29-D4C7-4152-BA3E-F60E81B938D3}" name="Amount" dataDxfId="1"/>
    <tableColumn id="4" xr3:uid="{110C24EC-F42D-4F79-B9D4-48BEB58D6C1C}" name="Statu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96206-BB6B-40F2-8830-29DBFA7269F6}">
  <sheetPr codeName="Sheet1"/>
  <dimension ref="B1:Q59"/>
  <sheetViews>
    <sheetView tabSelected="1" zoomScale="85" zoomScaleNormal="85" workbookViewId="0">
      <selection activeCell="N4" sqref="N4"/>
    </sheetView>
  </sheetViews>
  <sheetFormatPr defaultRowHeight="14.4" x14ac:dyDescent="0.3"/>
  <cols>
    <col min="1" max="1" width="6.6640625" customWidth="1"/>
    <col min="2" max="2" width="14.109375" style="3" customWidth="1"/>
    <col min="3" max="3" width="18.109375" style="4" customWidth="1"/>
    <col min="5" max="5" width="16.88671875" bestFit="1" customWidth="1"/>
    <col min="6" max="6" width="13.33203125" customWidth="1"/>
    <col min="7" max="7" width="14.88671875" style="6" customWidth="1"/>
    <col min="8" max="8" width="13.109375" style="13" customWidth="1"/>
    <col min="9" max="9" width="10.109375" customWidth="1"/>
    <col min="11" max="11" width="12.6640625" customWidth="1"/>
  </cols>
  <sheetData>
    <row r="1" spans="2:17" ht="15" thickBot="1" x14ac:dyDescent="0.35"/>
    <row r="2" spans="2:17" s="1" customFormat="1" ht="15.6" thickTop="1" thickBot="1" x14ac:dyDescent="0.35">
      <c r="B2" s="3" t="s">
        <v>32</v>
      </c>
      <c r="C2" s="8"/>
      <c r="E2" s="1" t="s">
        <v>0</v>
      </c>
      <c r="F2" s="1" t="s">
        <v>1</v>
      </c>
      <c r="G2" s="5" t="s">
        <v>2</v>
      </c>
      <c r="H2" s="14" t="s">
        <v>44</v>
      </c>
      <c r="I2" s="1" t="s">
        <v>3</v>
      </c>
      <c r="J2" s="1" t="s">
        <v>4</v>
      </c>
      <c r="K2" s="1" t="s">
        <v>31</v>
      </c>
      <c r="N2" s="1" t="s">
        <v>0</v>
      </c>
      <c r="O2" s="1" t="s">
        <v>1</v>
      </c>
      <c r="P2" s="1" t="s">
        <v>2</v>
      </c>
      <c r="Q2" s="1" t="s">
        <v>4</v>
      </c>
    </row>
    <row r="3" spans="2:17" ht="15.6" thickTop="1" thickBot="1" x14ac:dyDescent="0.35">
      <c r="B3" s="3" t="s">
        <v>33</v>
      </c>
      <c r="C3" s="8"/>
      <c r="E3" t="s">
        <v>59</v>
      </c>
      <c r="F3" t="s">
        <v>9</v>
      </c>
      <c r="G3" s="2">
        <v>1494</v>
      </c>
      <c r="H3" s="18">
        <v>46239</v>
      </c>
      <c r="I3" t="s">
        <v>28</v>
      </c>
      <c r="J3" t="s">
        <v>29</v>
      </c>
      <c r="K3" t="s">
        <v>60</v>
      </c>
      <c r="N3" s="1" t="s">
        <v>82</v>
      </c>
      <c r="O3" s="1" t="s">
        <v>5</v>
      </c>
      <c r="P3" s="1">
        <v>8000</v>
      </c>
      <c r="Q3" s="1" t="s">
        <v>29</v>
      </c>
    </row>
    <row r="4" spans="2:17" ht="15.6" thickTop="1" thickBot="1" x14ac:dyDescent="0.35">
      <c r="B4" s="3" t="s">
        <v>34</v>
      </c>
      <c r="C4" s="8"/>
      <c r="E4" t="s">
        <v>49</v>
      </c>
      <c r="F4" t="s">
        <v>7</v>
      </c>
      <c r="G4" s="2">
        <v>120.2</v>
      </c>
      <c r="H4" s="18">
        <v>46249</v>
      </c>
      <c r="I4" t="s">
        <v>27</v>
      </c>
      <c r="J4" t="s">
        <v>29</v>
      </c>
      <c r="K4" t="s">
        <v>41</v>
      </c>
      <c r="N4" s="1" t="s">
        <v>83</v>
      </c>
      <c r="O4" s="1" t="s">
        <v>6</v>
      </c>
      <c r="P4" s="1">
        <v>1000</v>
      </c>
      <c r="Q4" s="1" t="s">
        <v>29</v>
      </c>
    </row>
    <row r="5" spans="2:17" ht="15.6" thickTop="1" thickBot="1" x14ac:dyDescent="0.35">
      <c r="B5" s="3" t="s">
        <v>35</v>
      </c>
      <c r="C5" s="8"/>
      <c r="E5" t="s">
        <v>50</v>
      </c>
      <c r="F5" t="s">
        <v>8</v>
      </c>
      <c r="G5" s="2">
        <v>144.63</v>
      </c>
      <c r="H5" s="18">
        <v>46249</v>
      </c>
      <c r="I5" t="s">
        <v>27</v>
      </c>
      <c r="J5" t="s">
        <v>29</v>
      </c>
      <c r="K5" t="s">
        <v>41</v>
      </c>
      <c r="N5" s="1" t="s">
        <v>84</v>
      </c>
      <c r="O5" s="1" t="s">
        <v>6</v>
      </c>
      <c r="P5" s="1">
        <v>1000</v>
      </c>
      <c r="Q5" s="1" t="s">
        <v>29</v>
      </c>
    </row>
    <row r="6" spans="2:17" ht="15.6" thickTop="1" thickBot="1" x14ac:dyDescent="0.35">
      <c r="B6" s="3" t="s">
        <v>36</v>
      </c>
      <c r="C6" s="8"/>
      <c r="E6" t="s">
        <v>47</v>
      </c>
      <c r="F6" t="s">
        <v>7</v>
      </c>
      <c r="G6" s="2">
        <v>122.33</v>
      </c>
      <c r="H6" s="18">
        <v>46270</v>
      </c>
      <c r="I6" t="s">
        <v>28</v>
      </c>
      <c r="J6" t="s">
        <v>30</v>
      </c>
      <c r="K6" t="s">
        <v>41</v>
      </c>
    </row>
    <row r="7" spans="2:17" ht="15.6" thickTop="1" thickBot="1" x14ac:dyDescent="0.35">
      <c r="B7" s="3" t="s">
        <v>37</v>
      </c>
      <c r="C7" s="8"/>
      <c r="E7" t="s">
        <v>48</v>
      </c>
      <c r="F7" t="s">
        <v>9</v>
      </c>
      <c r="G7" s="2">
        <v>51.66</v>
      </c>
      <c r="H7" s="18">
        <v>46270</v>
      </c>
      <c r="I7" t="s">
        <v>28</v>
      </c>
      <c r="J7" t="s">
        <v>30</v>
      </c>
      <c r="K7" t="s">
        <v>41</v>
      </c>
    </row>
    <row r="8" spans="2:17" ht="15.6" thickTop="1" thickBot="1" x14ac:dyDescent="0.35">
      <c r="B8" s="3" t="s">
        <v>38</v>
      </c>
      <c r="C8" s="8"/>
      <c r="E8" t="s">
        <v>51</v>
      </c>
      <c r="F8" t="s">
        <v>7</v>
      </c>
      <c r="G8" s="2">
        <v>94.33</v>
      </c>
      <c r="H8" s="18">
        <v>46270</v>
      </c>
      <c r="I8" t="s">
        <v>28</v>
      </c>
      <c r="J8" t="s">
        <v>30</v>
      </c>
      <c r="K8" t="s">
        <v>41</v>
      </c>
    </row>
    <row r="9" spans="2:17" ht="15.6" thickTop="1" thickBot="1" x14ac:dyDescent="0.35">
      <c r="B9" s="3" t="s">
        <v>39</v>
      </c>
      <c r="C9" s="8"/>
      <c r="E9" t="s">
        <v>52</v>
      </c>
      <c r="F9" t="s">
        <v>7</v>
      </c>
      <c r="G9" s="2">
        <v>47.330000000000005</v>
      </c>
      <c r="H9" s="18">
        <v>46270</v>
      </c>
      <c r="I9" t="s">
        <v>28</v>
      </c>
      <c r="J9" t="s">
        <v>30</v>
      </c>
      <c r="K9" t="s">
        <v>41</v>
      </c>
    </row>
    <row r="10" spans="2:17" ht="15.6" thickTop="1" thickBot="1" x14ac:dyDescent="0.35">
      <c r="B10" s="3" t="s">
        <v>40</v>
      </c>
      <c r="C10" s="8"/>
      <c r="E10" t="s">
        <v>53</v>
      </c>
      <c r="F10" t="s">
        <v>7</v>
      </c>
      <c r="G10" s="2">
        <v>85.33</v>
      </c>
      <c r="H10" s="18">
        <v>46270</v>
      </c>
      <c r="I10" t="s">
        <v>28</v>
      </c>
      <c r="J10" t="s">
        <v>30</v>
      </c>
      <c r="K10" t="s">
        <v>41</v>
      </c>
    </row>
    <row r="11" spans="2:17" ht="15" thickTop="1" x14ac:dyDescent="0.3">
      <c r="E11" t="s">
        <v>54</v>
      </c>
      <c r="F11" t="s">
        <v>8</v>
      </c>
      <c r="G11" s="2">
        <v>90</v>
      </c>
      <c r="H11" s="18">
        <v>46270</v>
      </c>
      <c r="I11" t="s">
        <v>28</v>
      </c>
      <c r="J11" t="s">
        <v>30</v>
      </c>
      <c r="K11" t="s">
        <v>41</v>
      </c>
    </row>
    <row r="12" spans="2:17" x14ac:dyDescent="0.3">
      <c r="E12" t="s">
        <v>55</v>
      </c>
      <c r="F12" t="s">
        <v>8</v>
      </c>
      <c r="G12" s="2">
        <v>159.66999999999999</v>
      </c>
      <c r="H12" s="18">
        <v>46270</v>
      </c>
      <c r="I12" t="s">
        <v>28</v>
      </c>
      <c r="J12" t="s">
        <v>30</v>
      </c>
      <c r="K12" t="s">
        <v>41</v>
      </c>
    </row>
    <row r="13" spans="2:17" x14ac:dyDescent="0.3">
      <c r="E13" t="s">
        <v>56</v>
      </c>
      <c r="F13" t="s">
        <v>8</v>
      </c>
      <c r="G13" s="2">
        <v>1013.6700000000001</v>
      </c>
      <c r="H13" s="18">
        <v>46270</v>
      </c>
      <c r="I13" t="s">
        <v>28</v>
      </c>
      <c r="J13" t="s">
        <v>30</v>
      </c>
      <c r="K13" t="s">
        <v>41</v>
      </c>
    </row>
    <row r="14" spans="2:17" x14ac:dyDescent="0.3">
      <c r="E14" t="s">
        <v>57</v>
      </c>
      <c r="F14" t="s">
        <v>7</v>
      </c>
      <c r="G14" s="2">
        <v>220</v>
      </c>
      <c r="H14" s="18">
        <v>46270</v>
      </c>
      <c r="I14" t="s">
        <v>28</v>
      </c>
      <c r="J14" t="s">
        <v>30</v>
      </c>
      <c r="K14" t="s">
        <v>41</v>
      </c>
    </row>
    <row r="15" spans="2:17" x14ac:dyDescent="0.3">
      <c r="E15" t="s">
        <v>58</v>
      </c>
      <c r="F15" t="s">
        <v>7</v>
      </c>
      <c r="G15" s="2">
        <v>38.33</v>
      </c>
      <c r="H15" s="18">
        <v>46270</v>
      </c>
      <c r="I15" t="s">
        <v>28</v>
      </c>
      <c r="J15" t="s">
        <v>30</v>
      </c>
      <c r="K15" t="s">
        <v>41</v>
      </c>
    </row>
    <row r="16" spans="2:17" x14ac:dyDescent="0.3">
      <c r="E16" t="s">
        <v>61</v>
      </c>
      <c r="F16" t="s">
        <v>7</v>
      </c>
      <c r="G16" s="2">
        <v>165.16</v>
      </c>
      <c r="H16" s="18">
        <v>46270</v>
      </c>
      <c r="I16" t="s">
        <v>28</v>
      </c>
      <c r="J16" t="s">
        <v>30</v>
      </c>
      <c r="K16" t="s">
        <v>60</v>
      </c>
    </row>
    <row r="17" spans="5:11" x14ac:dyDescent="0.3">
      <c r="E17" t="s">
        <v>62</v>
      </c>
      <c r="F17" t="s">
        <v>80</v>
      </c>
      <c r="G17" s="2">
        <v>239.34</v>
      </c>
      <c r="H17" s="18">
        <v>46270</v>
      </c>
      <c r="I17" t="s">
        <v>28</v>
      </c>
      <c r="J17" t="s">
        <v>30</v>
      </c>
      <c r="K17" t="s">
        <v>60</v>
      </c>
    </row>
    <row r="18" spans="5:11" x14ac:dyDescent="0.3">
      <c r="E18" t="s">
        <v>45</v>
      </c>
      <c r="F18" t="s">
        <v>7</v>
      </c>
      <c r="G18" s="2">
        <v>1152.1833333333334</v>
      </c>
      <c r="H18" s="18">
        <v>46280</v>
      </c>
      <c r="I18" t="s">
        <v>27</v>
      </c>
      <c r="J18" t="s">
        <v>30</v>
      </c>
      <c r="K18" t="s">
        <v>41</v>
      </c>
    </row>
    <row r="19" spans="5:11" x14ac:dyDescent="0.3">
      <c r="E19" t="s">
        <v>46</v>
      </c>
      <c r="F19" t="s">
        <v>8</v>
      </c>
      <c r="G19" s="2">
        <v>795.0100000000001</v>
      </c>
      <c r="H19" s="18">
        <v>46280</v>
      </c>
      <c r="I19" t="s">
        <v>27</v>
      </c>
      <c r="J19" t="s">
        <v>30</v>
      </c>
      <c r="K19" t="s">
        <v>41</v>
      </c>
    </row>
    <row r="20" spans="5:11" x14ac:dyDescent="0.3">
      <c r="E20" t="s">
        <v>49</v>
      </c>
      <c r="F20" t="s">
        <v>7</v>
      </c>
      <c r="G20" s="2">
        <v>120.2</v>
      </c>
      <c r="H20" s="18">
        <v>46280</v>
      </c>
      <c r="I20" t="s">
        <v>27</v>
      </c>
      <c r="J20" t="s">
        <v>30</v>
      </c>
      <c r="K20" t="s">
        <v>42</v>
      </c>
    </row>
    <row r="21" spans="5:11" x14ac:dyDescent="0.3">
      <c r="E21" t="s">
        <v>50</v>
      </c>
      <c r="F21" t="s">
        <v>8</v>
      </c>
      <c r="G21" s="2">
        <v>144.63</v>
      </c>
      <c r="H21" s="18">
        <v>46280</v>
      </c>
      <c r="I21" t="s">
        <v>27</v>
      </c>
      <c r="J21" t="s">
        <v>30</v>
      </c>
      <c r="K21" t="s">
        <v>42</v>
      </c>
    </row>
    <row r="22" spans="5:11" x14ac:dyDescent="0.3">
      <c r="E22" t="s">
        <v>73</v>
      </c>
      <c r="F22" t="s">
        <v>7</v>
      </c>
      <c r="G22" s="2">
        <v>37</v>
      </c>
      <c r="H22" s="18">
        <v>46280</v>
      </c>
      <c r="I22" t="s">
        <v>27</v>
      </c>
      <c r="J22" t="s">
        <v>30</v>
      </c>
      <c r="K22" t="s">
        <v>41</v>
      </c>
    </row>
    <row r="23" spans="5:11" x14ac:dyDescent="0.3">
      <c r="E23" t="s">
        <v>74</v>
      </c>
      <c r="F23" t="s">
        <v>8</v>
      </c>
      <c r="G23" s="2">
        <v>111.33333333333333</v>
      </c>
      <c r="H23" s="18">
        <v>46280</v>
      </c>
      <c r="I23" t="s">
        <v>27</v>
      </c>
      <c r="J23" t="s">
        <v>30</v>
      </c>
      <c r="K23" t="s">
        <v>41</v>
      </c>
    </row>
    <row r="24" spans="5:11" x14ac:dyDescent="0.3">
      <c r="E24" t="s">
        <v>75</v>
      </c>
      <c r="F24" t="s">
        <v>7</v>
      </c>
      <c r="G24" s="2">
        <v>371.66666666666669</v>
      </c>
      <c r="H24" s="18">
        <v>46280</v>
      </c>
      <c r="I24" t="s">
        <v>27</v>
      </c>
      <c r="J24" t="s">
        <v>30</v>
      </c>
      <c r="K24" t="s">
        <v>41</v>
      </c>
    </row>
    <row r="25" spans="5:11" x14ac:dyDescent="0.3">
      <c r="E25" t="s">
        <v>76</v>
      </c>
      <c r="F25" t="s">
        <v>7</v>
      </c>
      <c r="G25" s="2">
        <v>410.33333333333331</v>
      </c>
      <c r="H25" s="18">
        <v>46280</v>
      </c>
      <c r="I25" t="s">
        <v>27</v>
      </c>
      <c r="J25" t="s">
        <v>30</v>
      </c>
      <c r="K25" t="s">
        <v>41</v>
      </c>
    </row>
    <row r="26" spans="5:11" x14ac:dyDescent="0.3">
      <c r="E26" t="s">
        <v>47</v>
      </c>
      <c r="F26" t="s">
        <v>7</v>
      </c>
      <c r="G26" s="2">
        <v>122.33</v>
      </c>
      <c r="H26" s="18">
        <v>46300</v>
      </c>
      <c r="I26" t="s">
        <v>28</v>
      </c>
      <c r="J26" t="s">
        <v>30</v>
      </c>
      <c r="K26" t="s">
        <v>42</v>
      </c>
    </row>
    <row r="27" spans="5:11" x14ac:dyDescent="0.3">
      <c r="E27" t="s">
        <v>48</v>
      </c>
      <c r="F27" t="s">
        <v>9</v>
      </c>
      <c r="G27" s="2">
        <v>51.66</v>
      </c>
      <c r="H27" s="18">
        <v>46300</v>
      </c>
      <c r="I27" t="s">
        <v>28</v>
      </c>
      <c r="J27" t="s">
        <v>30</v>
      </c>
      <c r="K27" t="s">
        <v>42</v>
      </c>
    </row>
    <row r="28" spans="5:11" x14ac:dyDescent="0.3">
      <c r="E28" t="s">
        <v>51</v>
      </c>
      <c r="F28" t="s">
        <v>7</v>
      </c>
      <c r="G28" s="2">
        <v>94.33</v>
      </c>
      <c r="H28" s="18">
        <v>46300</v>
      </c>
      <c r="I28" t="s">
        <v>28</v>
      </c>
      <c r="J28" t="s">
        <v>30</v>
      </c>
      <c r="K28" t="s">
        <v>42</v>
      </c>
    </row>
    <row r="29" spans="5:11" x14ac:dyDescent="0.3">
      <c r="E29" t="s">
        <v>52</v>
      </c>
      <c r="F29" t="s">
        <v>7</v>
      </c>
      <c r="G29" s="2">
        <v>47.330000000000005</v>
      </c>
      <c r="H29" s="18">
        <v>46300</v>
      </c>
      <c r="I29" t="s">
        <v>28</v>
      </c>
      <c r="J29" t="s">
        <v>30</v>
      </c>
      <c r="K29" t="s">
        <v>42</v>
      </c>
    </row>
    <row r="30" spans="5:11" x14ac:dyDescent="0.3">
      <c r="E30" t="s">
        <v>53</v>
      </c>
      <c r="F30" t="s">
        <v>7</v>
      </c>
      <c r="G30" s="2">
        <v>85.33</v>
      </c>
      <c r="H30" s="18">
        <v>46300</v>
      </c>
      <c r="I30" t="s">
        <v>28</v>
      </c>
      <c r="J30" t="s">
        <v>30</v>
      </c>
      <c r="K30" t="s">
        <v>42</v>
      </c>
    </row>
    <row r="31" spans="5:11" x14ac:dyDescent="0.3">
      <c r="E31" t="s">
        <v>54</v>
      </c>
      <c r="F31" t="s">
        <v>8</v>
      </c>
      <c r="G31" s="2">
        <v>90</v>
      </c>
      <c r="H31" s="18">
        <v>46300</v>
      </c>
      <c r="I31" t="s">
        <v>28</v>
      </c>
      <c r="J31" t="s">
        <v>30</v>
      </c>
      <c r="K31" t="s">
        <v>42</v>
      </c>
    </row>
    <row r="32" spans="5:11" x14ac:dyDescent="0.3">
      <c r="E32" t="s">
        <v>55</v>
      </c>
      <c r="F32" t="s">
        <v>8</v>
      </c>
      <c r="G32" s="2">
        <v>159.66999999999999</v>
      </c>
      <c r="H32" s="18">
        <v>46300</v>
      </c>
      <c r="I32" t="s">
        <v>28</v>
      </c>
      <c r="J32" t="s">
        <v>30</v>
      </c>
      <c r="K32" t="s">
        <v>42</v>
      </c>
    </row>
    <row r="33" spans="5:11" x14ac:dyDescent="0.3">
      <c r="E33" t="s">
        <v>56</v>
      </c>
      <c r="F33" t="s">
        <v>8</v>
      </c>
      <c r="G33" s="2">
        <v>1013.6700000000001</v>
      </c>
      <c r="H33" s="18">
        <v>46300</v>
      </c>
      <c r="I33" t="s">
        <v>28</v>
      </c>
      <c r="J33" t="s">
        <v>30</v>
      </c>
      <c r="K33" t="s">
        <v>42</v>
      </c>
    </row>
    <row r="34" spans="5:11" x14ac:dyDescent="0.3">
      <c r="E34" t="s">
        <v>57</v>
      </c>
      <c r="F34" t="s">
        <v>7</v>
      </c>
      <c r="G34" s="2">
        <v>220</v>
      </c>
      <c r="H34" s="18">
        <v>46300</v>
      </c>
      <c r="I34" t="s">
        <v>28</v>
      </c>
      <c r="J34" t="s">
        <v>30</v>
      </c>
      <c r="K34" t="s">
        <v>42</v>
      </c>
    </row>
    <row r="35" spans="5:11" x14ac:dyDescent="0.3">
      <c r="E35" t="s">
        <v>58</v>
      </c>
      <c r="F35" t="s">
        <v>7</v>
      </c>
      <c r="G35" s="2">
        <v>38.33</v>
      </c>
      <c r="H35" s="18">
        <v>46300</v>
      </c>
      <c r="I35" t="s">
        <v>28</v>
      </c>
      <c r="J35" t="s">
        <v>30</v>
      </c>
      <c r="K35" t="s">
        <v>42</v>
      </c>
    </row>
    <row r="36" spans="5:11" x14ac:dyDescent="0.3">
      <c r="E36" t="s">
        <v>45</v>
      </c>
      <c r="F36" t="s">
        <v>7</v>
      </c>
      <c r="G36" s="2">
        <v>1152.1833333333334</v>
      </c>
      <c r="H36" s="18">
        <v>46310</v>
      </c>
      <c r="I36" t="s">
        <v>27</v>
      </c>
      <c r="J36" t="s">
        <v>30</v>
      </c>
      <c r="K36" t="s">
        <v>42</v>
      </c>
    </row>
    <row r="37" spans="5:11" x14ac:dyDescent="0.3">
      <c r="E37" t="s">
        <v>46</v>
      </c>
      <c r="F37" t="s">
        <v>8</v>
      </c>
      <c r="G37" s="2">
        <v>795.0100000000001</v>
      </c>
      <c r="H37" s="18">
        <v>46310</v>
      </c>
      <c r="I37" t="s">
        <v>27</v>
      </c>
      <c r="J37" t="s">
        <v>30</v>
      </c>
      <c r="K37" t="s">
        <v>42</v>
      </c>
    </row>
    <row r="38" spans="5:11" x14ac:dyDescent="0.3">
      <c r="E38" t="s">
        <v>49</v>
      </c>
      <c r="F38" t="s">
        <v>7</v>
      </c>
      <c r="G38" s="2">
        <v>120.2</v>
      </c>
      <c r="H38" s="18">
        <v>46310</v>
      </c>
      <c r="I38" t="s">
        <v>27</v>
      </c>
      <c r="J38" t="s">
        <v>30</v>
      </c>
      <c r="K38" t="s">
        <v>43</v>
      </c>
    </row>
    <row r="39" spans="5:11" x14ac:dyDescent="0.3">
      <c r="E39" t="s">
        <v>50</v>
      </c>
      <c r="F39" t="s">
        <v>8</v>
      </c>
      <c r="G39" s="2">
        <v>144.63</v>
      </c>
      <c r="H39" s="18">
        <v>46310</v>
      </c>
      <c r="I39" t="s">
        <v>27</v>
      </c>
      <c r="J39" t="s">
        <v>30</v>
      </c>
      <c r="K39" t="s">
        <v>43</v>
      </c>
    </row>
    <row r="40" spans="5:11" x14ac:dyDescent="0.3">
      <c r="E40" t="s">
        <v>73</v>
      </c>
      <c r="F40" t="s">
        <v>7</v>
      </c>
      <c r="G40" s="2">
        <v>37</v>
      </c>
      <c r="H40" s="18">
        <v>46310</v>
      </c>
      <c r="I40" t="s">
        <v>27</v>
      </c>
      <c r="J40" t="s">
        <v>30</v>
      </c>
      <c r="K40" t="s">
        <v>42</v>
      </c>
    </row>
    <row r="41" spans="5:11" x14ac:dyDescent="0.3">
      <c r="E41" t="s">
        <v>74</v>
      </c>
      <c r="F41" t="s">
        <v>8</v>
      </c>
      <c r="G41" s="2">
        <v>111.33333333333333</v>
      </c>
      <c r="H41" s="18">
        <v>46310</v>
      </c>
      <c r="I41" t="s">
        <v>27</v>
      </c>
      <c r="J41" t="s">
        <v>30</v>
      </c>
      <c r="K41" t="s">
        <v>42</v>
      </c>
    </row>
    <row r="42" spans="5:11" x14ac:dyDescent="0.3">
      <c r="E42" t="s">
        <v>75</v>
      </c>
      <c r="F42" t="s">
        <v>7</v>
      </c>
      <c r="G42" s="2">
        <v>371.66666666666669</v>
      </c>
      <c r="H42" s="18">
        <v>46310</v>
      </c>
      <c r="I42" t="s">
        <v>27</v>
      </c>
      <c r="J42" t="s">
        <v>30</v>
      </c>
      <c r="K42" t="s">
        <v>42</v>
      </c>
    </row>
    <row r="43" spans="5:11" x14ac:dyDescent="0.3">
      <c r="E43" t="s">
        <v>76</v>
      </c>
      <c r="F43" t="s">
        <v>7</v>
      </c>
      <c r="G43" s="2">
        <v>410.33333333333331</v>
      </c>
      <c r="H43" s="18">
        <v>46310</v>
      </c>
      <c r="I43" t="s">
        <v>27</v>
      </c>
      <c r="J43" t="s">
        <v>30</v>
      </c>
      <c r="K43" t="s">
        <v>42</v>
      </c>
    </row>
    <row r="44" spans="5:11" x14ac:dyDescent="0.3">
      <c r="E44" t="s">
        <v>47</v>
      </c>
      <c r="F44" t="s">
        <v>7</v>
      </c>
      <c r="G44" s="2">
        <v>122.33</v>
      </c>
      <c r="H44" s="18">
        <v>46331</v>
      </c>
      <c r="I44" t="s">
        <v>28</v>
      </c>
      <c r="J44" t="s">
        <v>30</v>
      </c>
      <c r="K44" t="s">
        <v>43</v>
      </c>
    </row>
    <row r="45" spans="5:11" x14ac:dyDescent="0.3">
      <c r="E45" t="s">
        <v>48</v>
      </c>
      <c r="F45" t="s">
        <v>9</v>
      </c>
      <c r="G45" s="2">
        <v>51.66</v>
      </c>
      <c r="H45" s="18">
        <v>46331</v>
      </c>
      <c r="I45" t="s">
        <v>28</v>
      </c>
      <c r="J45" t="s">
        <v>30</v>
      </c>
      <c r="K45" t="s">
        <v>43</v>
      </c>
    </row>
    <row r="46" spans="5:11" x14ac:dyDescent="0.3">
      <c r="E46" t="s">
        <v>51</v>
      </c>
      <c r="F46" t="s">
        <v>7</v>
      </c>
      <c r="G46" s="2">
        <v>94.33</v>
      </c>
      <c r="H46" s="18">
        <v>46331</v>
      </c>
      <c r="I46" t="s">
        <v>28</v>
      </c>
      <c r="J46" t="s">
        <v>30</v>
      </c>
      <c r="K46" t="s">
        <v>43</v>
      </c>
    </row>
    <row r="47" spans="5:11" x14ac:dyDescent="0.3">
      <c r="E47" t="s">
        <v>52</v>
      </c>
      <c r="F47" t="s">
        <v>7</v>
      </c>
      <c r="G47" s="2">
        <v>47.330000000000005</v>
      </c>
      <c r="H47" s="18">
        <v>46331</v>
      </c>
      <c r="I47" t="s">
        <v>28</v>
      </c>
      <c r="J47" t="s">
        <v>30</v>
      </c>
      <c r="K47" t="s">
        <v>43</v>
      </c>
    </row>
    <row r="48" spans="5:11" x14ac:dyDescent="0.3">
      <c r="E48" t="s">
        <v>53</v>
      </c>
      <c r="F48" t="s">
        <v>7</v>
      </c>
      <c r="G48" s="2">
        <v>85.33</v>
      </c>
      <c r="H48" s="18">
        <v>46331</v>
      </c>
      <c r="I48" t="s">
        <v>28</v>
      </c>
      <c r="J48" t="s">
        <v>30</v>
      </c>
      <c r="K48" t="s">
        <v>43</v>
      </c>
    </row>
    <row r="49" spans="5:11" x14ac:dyDescent="0.3">
      <c r="E49" t="s">
        <v>54</v>
      </c>
      <c r="F49" t="s">
        <v>8</v>
      </c>
      <c r="G49" s="2">
        <v>90</v>
      </c>
      <c r="H49" s="18">
        <v>46331</v>
      </c>
      <c r="I49" t="s">
        <v>28</v>
      </c>
      <c r="J49" t="s">
        <v>30</v>
      </c>
      <c r="K49" t="s">
        <v>43</v>
      </c>
    </row>
    <row r="50" spans="5:11" x14ac:dyDescent="0.3">
      <c r="E50" t="s">
        <v>55</v>
      </c>
      <c r="F50" t="s">
        <v>8</v>
      </c>
      <c r="G50" s="2">
        <v>159.66999999999999</v>
      </c>
      <c r="H50" s="18">
        <v>46331</v>
      </c>
      <c r="I50" t="s">
        <v>28</v>
      </c>
      <c r="J50" t="s">
        <v>30</v>
      </c>
      <c r="K50" t="s">
        <v>43</v>
      </c>
    </row>
    <row r="51" spans="5:11" x14ac:dyDescent="0.3">
      <c r="E51" t="s">
        <v>56</v>
      </c>
      <c r="F51" t="s">
        <v>8</v>
      </c>
      <c r="G51" s="2">
        <v>1013.6700000000001</v>
      </c>
      <c r="H51" s="18">
        <v>46331</v>
      </c>
      <c r="I51" t="s">
        <v>28</v>
      </c>
      <c r="J51" t="s">
        <v>30</v>
      </c>
      <c r="K51" t="s">
        <v>43</v>
      </c>
    </row>
    <row r="52" spans="5:11" x14ac:dyDescent="0.3">
      <c r="E52" t="s">
        <v>57</v>
      </c>
      <c r="F52" t="s">
        <v>7</v>
      </c>
      <c r="G52" s="2">
        <v>220</v>
      </c>
      <c r="H52" s="18">
        <v>46331</v>
      </c>
      <c r="I52" t="s">
        <v>28</v>
      </c>
      <c r="J52" t="s">
        <v>30</v>
      </c>
      <c r="K52" t="s">
        <v>43</v>
      </c>
    </row>
    <row r="53" spans="5:11" x14ac:dyDescent="0.3">
      <c r="E53" t="s">
        <v>58</v>
      </c>
      <c r="F53" t="s">
        <v>7</v>
      </c>
      <c r="G53" s="2">
        <v>38.33</v>
      </c>
      <c r="H53" s="18">
        <v>46331</v>
      </c>
      <c r="I53" t="s">
        <v>28</v>
      </c>
      <c r="J53" t="s">
        <v>30</v>
      </c>
      <c r="K53" t="s">
        <v>43</v>
      </c>
    </row>
    <row r="54" spans="5:11" x14ac:dyDescent="0.3">
      <c r="E54" t="s">
        <v>45</v>
      </c>
      <c r="F54" t="s">
        <v>7</v>
      </c>
      <c r="G54" s="2">
        <v>1152.1833333333334</v>
      </c>
      <c r="H54" s="18">
        <v>46341</v>
      </c>
      <c r="I54" t="s">
        <v>27</v>
      </c>
      <c r="J54" t="s">
        <v>30</v>
      </c>
      <c r="K54" t="s">
        <v>43</v>
      </c>
    </row>
    <row r="55" spans="5:11" x14ac:dyDescent="0.3">
      <c r="E55" t="s">
        <v>46</v>
      </c>
      <c r="F55" t="s">
        <v>8</v>
      </c>
      <c r="G55" s="2">
        <v>795.0100000000001</v>
      </c>
      <c r="H55" s="18">
        <v>46341</v>
      </c>
      <c r="I55" t="s">
        <v>27</v>
      </c>
      <c r="J55" t="s">
        <v>30</v>
      </c>
      <c r="K55" t="s">
        <v>43</v>
      </c>
    </row>
    <row r="56" spans="5:11" x14ac:dyDescent="0.3">
      <c r="E56" t="s">
        <v>73</v>
      </c>
      <c r="F56" t="s">
        <v>7</v>
      </c>
      <c r="G56" s="2">
        <v>37</v>
      </c>
      <c r="H56" s="18">
        <v>46341</v>
      </c>
      <c r="I56" t="s">
        <v>27</v>
      </c>
      <c r="J56" t="s">
        <v>30</v>
      </c>
      <c r="K56" t="s">
        <v>43</v>
      </c>
    </row>
    <row r="57" spans="5:11" x14ac:dyDescent="0.3">
      <c r="E57" t="s">
        <v>74</v>
      </c>
      <c r="F57" t="s">
        <v>8</v>
      </c>
      <c r="G57" s="2">
        <v>111.33333333333333</v>
      </c>
      <c r="H57" s="18">
        <v>46341</v>
      </c>
      <c r="I57" t="s">
        <v>27</v>
      </c>
      <c r="J57" t="s">
        <v>30</v>
      </c>
      <c r="K57" t="s">
        <v>43</v>
      </c>
    </row>
    <row r="58" spans="5:11" x14ac:dyDescent="0.3">
      <c r="E58" t="s">
        <v>75</v>
      </c>
      <c r="F58" t="s">
        <v>7</v>
      </c>
      <c r="G58" s="2">
        <v>371.66666666666669</v>
      </c>
      <c r="H58" s="18">
        <v>46341</v>
      </c>
      <c r="I58" t="s">
        <v>27</v>
      </c>
      <c r="J58" t="s">
        <v>30</v>
      </c>
      <c r="K58" t="s">
        <v>43</v>
      </c>
    </row>
    <row r="59" spans="5:11" x14ac:dyDescent="0.3">
      <c r="E59" t="s">
        <v>76</v>
      </c>
      <c r="F59" t="s">
        <v>7</v>
      </c>
      <c r="G59" s="2">
        <v>410.33333333333331</v>
      </c>
      <c r="H59" s="18">
        <v>46341</v>
      </c>
      <c r="I59" t="s">
        <v>27</v>
      </c>
      <c r="J59" t="s">
        <v>30</v>
      </c>
      <c r="K59" t="s">
        <v>43</v>
      </c>
    </row>
  </sheetData>
  <pageMargins left="0.7" right="0.7" top="0.75" bottom="0.75" header="0.3" footer="0.3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7EC2470-1757-46F7-B38B-58D9090C33EE}">
          <x14:formula1>
            <xm:f>Validations!$B$3:$B$11</xm:f>
          </x14:formula1>
          <xm:sqref>C3</xm:sqref>
        </x14:dataValidation>
        <x14:dataValidation type="list" allowBlank="1" showInputMessage="1" showErrorMessage="1" xr:uid="{61BA6290-09DB-445F-8B80-7F89209EE7CC}">
          <x14:formula1>
            <xm:f>Validations!$C$3:$C$15</xm:f>
          </x14:formula1>
          <xm:sqref>C5</xm:sqref>
        </x14:dataValidation>
        <x14:dataValidation type="list" allowBlank="1" showInputMessage="1" showErrorMessage="1" xr:uid="{5D64E757-7A3A-4F27-B98D-C577CE701C88}">
          <x14:formula1>
            <xm:f>Validations!$D$3:$D$33</xm:f>
          </x14:formula1>
          <xm:sqref>C6</xm:sqref>
        </x14:dataValidation>
        <x14:dataValidation type="list" allowBlank="1" showInputMessage="1" showErrorMessage="1" xr:uid="{861E3BC3-F995-4A9D-B7F2-57F8C7B49B05}">
          <x14:formula1>
            <xm:f>Validations!$E$3:$E$8</xm:f>
          </x14:formula1>
          <xm:sqref>C7</xm:sqref>
        </x14:dataValidation>
        <x14:dataValidation type="list" allowBlank="1" showInputMessage="1" showErrorMessage="1" xr:uid="{EC910533-5498-4D4B-B878-A0685888ED5D}">
          <x14:formula1>
            <xm:f>Validations!$F$3:$F$5</xm:f>
          </x14:formula1>
          <xm:sqref>C8</xm:sqref>
        </x14:dataValidation>
        <x14:dataValidation type="list" allowBlank="1" showInputMessage="1" showErrorMessage="1" xr:uid="{FDC005BB-C042-4E41-A8BC-24786F5917F5}">
          <x14:formula1>
            <xm:f>Validations!$G$3:$G$5</xm:f>
          </x14:formula1>
          <xm:sqref>C9</xm:sqref>
        </x14:dataValidation>
        <x14:dataValidation type="list" allowBlank="1" showInputMessage="1" showErrorMessage="1" xr:uid="{36963C85-C8BA-4A82-8394-DF8C7F940839}">
          <x14:formula1>
            <xm:f>Validations!$H$3:$H$15</xm:f>
          </x14:formula1>
          <xm:sqref>C10</xm:sqref>
        </x14:dataValidation>
        <x14:dataValidation type="list" allowBlank="1" showInputMessage="1" showErrorMessage="1" xr:uid="{DFF2D8FA-7341-45D0-A374-E87597DD5285}">
          <x14:formula1>
            <xm:f>Validations!$G$3:$G$4</xm:f>
          </x14:formula1>
          <xm:sqref>J3:J1048576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E3C3-E899-4E3B-B5A3-9A56EB9FB693}">
  <sheetPr codeName="Sheet3"/>
  <dimension ref="B1:M22"/>
  <sheetViews>
    <sheetView workbookViewId="0">
      <selection activeCell="M3" sqref="M3"/>
    </sheetView>
  </sheetViews>
  <sheetFormatPr defaultRowHeight="14.4" x14ac:dyDescent="0.3"/>
  <cols>
    <col min="2" max="2" width="20.88671875" style="3" bestFit="1" customWidth="1"/>
    <col min="3" max="3" width="13.33203125" style="7" bestFit="1" customWidth="1"/>
    <col min="5" max="5" width="17.6640625" customWidth="1"/>
    <col min="6" max="6" width="14.5546875" customWidth="1"/>
    <col min="7" max="7" width="13" style="7" customWidth="1"/>
    <col min="8" max="8" width="12.88671875" style="17" customWidth="1"/>
    <col min="11" max="11" width="11" bestFit="1" customWidth="1"/>
    <col min="13" max="13" width="12.88671875" bestFit="1" customWidth="1"/>
  </cols>
  <sheetData>
    <row r="1" spans="2:13" ht="15" thickBot="1" x14ac:dyDescent="0.35"/>
    <row r="2" spans="2:13" ht="15.6" thickTop="1" thickBot="1" x14ac:dyDescent="0.35">
      <c r="B2" s="3" t="s">
        <v>63</v>
      </c>
      <c r="C2" s="24" t="s">
        <v>21</v>
      </c>
      <c r="E2" s="10" t="s">
        <v>0</v>
      </c>
      <c r="F2" s="10" t="s">
        <v>1</v>
      </c>
      <c r="G2" s="11" t="s">
        <v>2</v>
      </c>
      <c r="H2" s="12" t="s">
        <v>44</v>
      </c>
      <c r="I2" s="10" t="s">
        <v>3</v>
      </c>
      <c r="J2" s="10" t="s">
        <v>4</v>
      </c>
      <c r="K2" s="10" t="s">
        <v>31</v>
      </c>
      <c r="M2" s="1" t="s">
        <v>79</v>
      </c>
    </row>
    <row r="3" spans="2:13" ht="15.6" thickTop="1" thickBot="1" x14ac:dyDescent="0.35">
      <c r="B3" s="3" t="s">
        <v>64</v>
      </c>
      <c r="C3" s="25"/>
      <c r="E3" t="str" cm="1">
        <f t="array" ref="E3:K22">_xlfn._xlws.FILTER(Data[],
  ((C2="") + (TEXT(Data[Due Date],"mmmm")=C2)) *
  ((C3="") + (DAY(Data[Due Date])=C3)) *
  ((C4="") + (Data[Account]=C4)),
  "No matching records found")</f>
        <v>Pillow</v>
      </c>
      <c r="F3" t="str">
        <v>Home Setup</v>
      </c>
      <c r="G3" s="7">
        <v>122.33</v>
      </c>
      <c r="H3" s="17">
        <v>46270</v>
      </c>
      <c r="I3" t="str">
        <v>Cherry</v>
      </c>
      <c r="J3" t="str">
        <v>Unpaid</v>
      </c>
      <c r="K3" t="str">
        <v>1 of 3</v>
      </c>
      <c r="M3" s="6">
        <f>C15-SUMIF(Data[Status],"&lt;&gt;Paid",Data[Amount])</f>
        <v>-7334.6900000000023</v>
      </c>
    </row>
    <row r="4" spans="2:13" ht="15.6" thickTop="1" thickBot="1" x14ac:dyDescent="0.35">
      <c r="B4" s="3" t="s">
        <v>65</v>
      </c>
      <c r="C4" s="24"/>
      <c r="E4" t="str">
        <v>Water Container</v>
      </c>
      <c r="F4" t="str">
        <v>Kitchenwares</v>
      </c>
      <c r="G4" s="7">
        <v>51.66</v>
      </c>
      <c r="H4" s="17">
        <v>46270</v>
      </c>
      <c r="I4" t="str">
        <v>Cherry</v>
      </c>
      <c r="J4" t="str">
        <v>Unpaid</v>
      </c>
      <c r="K4" t="str">
        <v>1 of 3</v>
      </c>
    </row>
    <row r="5" spans="2:13" ht="15" thickTop="1" x14ac:dyDescent="0.3">
      <c r="E5" t="str">
        <v>Bed Sheet</v>
      </c>
      <c r="F5" t="str">
        <v>Home Setup</v>
      </c>
      <c r="G5" s="7">
        <v>94.33</v>
      </c>
      <c r="H5" s="17">
        <v>46270</v>
      </c>
      <c r="I5" t="str">
        <v>Cherry</v>
      </c>
      <c r="J5" t="str">
        <v>Unpaid</v>
      </c>
      <c r="K5" t="str">
        <v>1 of 3</v>
      </c>
    </row>
    <row r="6" spans="2:13" x14ac:dyDescent="0.3">
      <c r="B6" s="3" t="s">
        <v>66</v>
      </c>
      <c r="C6" s="7">
        <f>_xlfn.LET(_xlpm.calc, SUMIFS(Data[Amount], Data[Item], "Rent", Data[Status], "&lt;&gt;Paid", Data[Account], IF(C4="", "*", C4)), IF(_xlpm.calc=0, 8000, _xlpm.calc))</f>
        <v>8000</v>
      </c>
      <c r="E6" t="str">
        <v>Hanger</v>
      </c>
      <c r="F6" t="str">
        <v>Home Setup</v>
      </c>
      <c r="G6" s="7">
        <v>47.330000000000005</v>
      </c>
      <c r="H6" s="17">
        <v>46270</v>
      </c>
      <c r="I6" t="str">
        <v>Cherry</v>
      </c>
      <c r="J6" t="str">
        <v>Unpaid</v>
      </c>
      <c r="K6" t="str">
        <v>1 of 3</v>
      </c>
    </row>
    <row r="7" spans="2:13" x14ac:dyDescent="0.3">
      <c r="B7" s="3" t="s">
        <v>67</v>
      </c>
      <c r="C7" s="7">
        <f>_xlfn.LET(_xlpm.calc, SUMIFS(Data[Amount], Data[Item], "Electric", Data[Status], "&lt;&gt;Paid", Data[Account], IF(C4="", "*", C4)), IF(_xlpm.calc=0, 1000, _xlpm.calc))</f>
        <v>1000</v>
      </c>
      <c r="E7" t="str">
        <v>Mop</v>
      </c>
      <c r="F7" t="str">
        <v>Home Setup</v>
      </c>
      <c r="G7" s="7">
        <v>85.33</v>
      </c>
      <c r="H7" s="17">
        <v>46270</v>
      </c>
      <c r="I7" t="str">
        <v>Cherry</v>
      </c>
      <c r="J7" t="str">
        <v>Unpaid</v>
      </c>
      <c r="K7" t="str">
        <v>1 of 3</v>
      </c>
    </row>
    <row r="8" spans="2:13" x14ac:dyDescent="0.3">
      <c r="B8" s="3" t="s">
        <v>68</v>
      </c>
      <c r="C8" s="7">
        <f>_xlfn.LET(_xlpm.calc, SUMIFS(Data[Amount], Data[Item], "Water", Data[Status], "&lt;&gt;Paid", Data[Account], IF(C4="", "*", C4)), IF(_xlpm.calc=0, 1000, _xlpm.calc))</f>
        <v>1000</v>
      </c>
      <c r="E8" t="str">
        <v>E-Kettle</v>
      </c>
      <c r="F8" t="str">
        <v>Appliances</v>
      </c>
      <c r="G8" s="7">
        <v>90</v>
      </c>
      <c r="H8" s="17">
        <v>46270</v>
      </c>
      <c r="I8" t="str">
        <v>Cherry</v>
      </c>
      <c r="J8" t="str">
        <v>Unpaid</v>
      </c>
      <c r="K8" t="str">
        <v>1 of 3</v>
      </c>
    </row>
    <row r="9" spans="2:13" x14ac:dyDescent="0.3">
      <c r="B9" s="3" t="s">
        <v>69</v>
      </c>
      <c r="C9" s="7" cm="1">
        <f t="array" ref="C9">SUM(_xlfn._xlws.FILTER(Data[Amount], ((C2="") + (TEXT(Data[Due Date], "mmmm")=C2)) * ((C3="") + (DAY(Data[Due Date])=C3)) * ((C4="") + (Data[Account]=C4)) * (Data[Category]&lt;&gt;"Housing") * (Data[Category]&lt;&gt;"Utilities"), 0))</f>
        <v>5469.5066666666662</v>
      </c>
      <c r="E9" t="str">
        <v>E-Cooker</v>
      </c>
      <c r="F9" t="str">
        <v>Appliances</v>
      </c>
      <c r="G9" s="7">
        <v>159.66999999999999</v>
      </c>
      <c r="H9" s="17">
        <v>46270</v>
      </c>
      <c r="I9" t="str">
        <v>Cherry</v>
      </c>
      <c r="J9" t="str">
        <v>Unpaid</v>
      </c>
      <c r="K9" t="str">
        <v>1 of 3</v>
      </c>
    </row>
    <row r="10" spans="2:13" x14ac:dyDescent="0.3">
      <c r="B10" s="3" t="s">
        <v>70</v>
      </c>
      <c r="C10" s="7">
        <f>SUM(C6:C9)</f>
        <v>15469.506666666666</v>
      </c>
      <c r="E10" t="str">
        <v>Washing Machine</v>
      </c>
      <c r="F10" t="str">
        <v>Appliances</v>
      </c>
      <c r="G10" s="7">
        <v>1013.6700000000001</v>
      </c>
      <c r="H10" s="17">
        <v>46270</v>
      </c>
      <c r="I10" t="str">
        <v>Cherry</v>
      </c>
      <c r="J10" t="str">
        <v>Unpaid</v>
      </c>
      <c r="K10" t="str">
        <v>1 of 3</v>
      </c>
    </row>
    <row r="11" spans="2:13" s="1" customFormat="1" x14ac:dyDescent="0.3">
      <c r="E11" t="str">
        <v>Kitchen Rack</v>
      </c>
      <c r="F11" t="str">
        <v>Home Setup</v>
      </c>
      <c r="G11" s="7">
        <v>220</v>
      </c>
      <c r="H11" s="17">
        <v>46270</v>
      </c>
      <c r="I11" t="str">
        <v>Cherry</v>
      </c>
      <c r="J11" t="str">
        <v>Unpaid</v>
      </c>
      <c r="K11" t="str">
        <v>1 of 3</v>
      </c>
    </row>
    <row r="12" spans="2:13" s="9" customFormat="1" x14ac:dyDescent="0.3">
      <c r="B12" s="3" t="s">
        <v>71</v>
      </c>
      <c r="C12" s="26" cm="1">
        <f t="array" ref="C12">SUM(_xlfn._xlws.FILTER(Data[Amount], ((C2="") + (TEXT(Data[Due Date], "mmmm")=C2)) * ((C3="") + (DAY(Data[Due Date])=C3)) * ((C4="") + (Data[Account]=C4)) * (Data[Category]&lt;&gt;"Housing") * (Data[Category]&lt;&gt;"Utilities") * (Data[Status]&lt;&gt;"Paid"), 0))</f>
        <v>5469.5066666666662</v>
      </c>
      <c r="E12" s="9" t="str">
        <v>Dish Drainer</v>
      </c>
      <c r="F12" s="9" t="str">
        <v>Home Setup</v>
      </c>
      <c r="G12" s="15">
        <v>38.33</v>
      </c>
      <c r="H12" s="16">
        <v>46270</v>
      </c>
      <c r="I12" s="9" t="str">
        <v>Cherry</v>
      </c>
      <c r="J12" s="9" t="str">
        <v>Unpaid</v>
      </c>
      <c r="K12" s="9" t="str">
        <v>1 of 3</v>
      </c>
    </row>
    <row r="13" spans="2:13" x14ac:dyDescent="0.3">
      <c r="B13" s="3" t="s">
        <v>72</v>
      </c>
      <c r="C13" s="7" cm="1">
        <f t="array" ref="C13">SUM(_xlfn._xlws.FILTER(Data[Amount], ((C2="") + (TEXT(Data[Due Date], "mmmm")=C2)) * ((C3="") + (DAY(Data[Due Date])=C3)) * (Data[Status]&lt;&gt;"Paid"), 0))</f>
        <v>5469.5066666666662</v>
      </c>
      <c r="E13" t="str">
        <v>Sako Bag</v>
      </c>
      <c r="F13" t="str">
        <v>Home Setup</v>
      </c>
      <c r="G13" s="7">
        <v>165.16</v>
      </c>
      <c r="H13" s="17">
        <v>46270</v>
      </c>
      <c r="I13" t="str">
        <v>Cherry</v>
      </c>
      <c r="J13" t="str">
        <v>Unpaid</v>
      </c>
      <c r="K13" t="str">
        <v>1 of 1</v>
      </c>
    </row>
    <row r="14" spans="2:13" x14ac:dyDescent="0.3">
      <c r="E14" t="str">
        <v>Lipstick</v>
      </c>
      <c r="F14" t="str">
        <v>Others</v>
      </c>
      <c r="G14" s="7">
        <v>239.34</v>
      </c>
      <c r="H14" s="17">
        <v>46270</v>
      </c>
      <c r="I14" t="str">
        <v>Cherry</v>
      </c>
      <c r="J14" t="str">
        <v>Unpaid</v>
      </c>
      <c r="K14" t="str">
        <v>1 of 1</v>
      </c>
    </row>
    <row r="15" spans="2:13" x14ac:dyDescent="0.3">
      <c r="B15" s="19" t="s">
        <v>77</v>
      </c>
      <c r="C15" s="15">
        <v>8000</v>
      </c>
      <c r="E15" t="str">
        <v>Matress</v>
      </c>
      <c r="F15" t="str">
        <v>Home Setup</v>
      </c>
      <c r="G15" s="7">
        <v>1152.1833333333334</v>
      </c>
      <c r="H15" s="17">
        <v>46280</v>
      </c>
      <c r="I15" t="str">
        <v>Raven</v>
      </c>
      <c r="J15" t="str">
        <v>Unpaid</v>
      </c>
      <c r="K15" t="str">
        <v>1 of 3</v>
      </c>
    </row>
    <row r="16" spans="2:13" x14ac:dyDescent="0.3">
      <c r="B16" s="3" t="s">
        <v>78</v>
      </c>
      <c r="C16" s="7">
        <f>C15-SUMIF(Data[Status],"&lt;&gt;Paid",Data[Amount])</f>
        <v>-7334.6900000000023</v>
      </c>
      <c r="E16" t="str">
        <v>E-Fan</v>
      </c>
      <c r="F16" t="str">
        <v>Appliances</v>
      </c>
      <c r="G16" s="7">
        <v>795.0100000000001</v>
      </c>
      <c r="H16" s="17">
        <v>46280</v>
      </c>
      <c r="I16" t="str">
        <v>Raven</v>
      </c>
      <c r="J16" t="str">
        <v>Unpaid</v>
      </c>
      <c r="K16" t="str">
        <v>1 of 3</v>
      </c>
    </row>
    <row r="17" spans="5:11" x14ac:dyDescent="0.3">
      <c r="E17" t="str">
        <v>LED Bulb</v>
      </c>
      <c r="F17" t="str">
        <v>Home Setup</v>
      </c>
      <c r="G17" s="7">
        <v>120.2</v>
      </c>
      <c r="H17" s="17">
        <v>46280</v>
      </c>
      <c r="I17" t="str">
        <v>Raven</v>
      </c>
      <c r="J17" t="str">
        <v>Unpaid</v>
      </c>
      <c r="K17" t="str">
        <v>2 of 3</v>
      </c>
    </row>
    <row r="18" spans="5:11" x14ac:dyDescent="0.3">
      <c r="E18" t="str">
        <v>Rice Cooker</v>
      </c>
      <c r="F18" t="str">
        <v>Appliances</v>
      </c>
      <c r="G18" s="7">
        <v>144.63</v>
      </c>
      <c r="H18" s="17">
        <v>46280</v>
      </c>
      <c r="I18" t="str">
        <v>Raven</v>
      </c>
      <c r="J18" t="str">
        <v>Unpaid</v>
      </c>
      <c r="K18" t="str">
        <v>2 of 3</v>
      </c>
    </row>
    <row r="19" spans="5:11" x14ac:dyDescent="0.3">
      <c r="E19" t="str">
        <v>Curtain Clip</v>
      </c>
      <c r="F19" t="str">
        <v>Home Setup</v>
      </c>
      <c r="G19" s="7">
        <v>37</v>
      </c>
      <c r="H19" s="17">
        <v>46280</v>
      </c>
      <c r="I19" t="str">
        <v>Raven</v>
      </c>
      <c r="J19" t="str">
        <v>Unpaid</v>
      </c>
      <c r="K19" t="str">
        <v>1 of 3</v>
      </c>
    </row>
    <row r="20" spans="5:11" x14ac:dyDescent="0.3">
      <c r="E20" t="str">
        <v>E-Fan (DC)</v>
      </c>
      <c r="F20" t="str">
        <v>Appliances</v>
      </c>
      <c r="G20" s="7">
        <v>111.33333333333333</v>
      </c>
      <c r="H20" s="17">
        <v>46280</v>
      </c>
      <c r="I20" t="str">
        <v>Raven</v>
      </c>
      <c r="J20" t="str">
        <v>Unpaid</v>
      </c>
      <c r="K20" t="str">
        <v>1 of 3</v>
      </c>
    </row>
    <row r="21" spans="5:11" x14ac:dyDescent="0.3">
      <c r="E21" t="str">
        <v>Chair</v>
      </c>
      <c r="F21" t="str">
        <v>Home Setup</v>
      </c>
      <c r="G21" s="7">
        <v>371.66666666666669</v>
      </c>
      <c r="H21" s="17">
        <v>46280</v>
      </c>
      <c r="I21" t="str">
        <v>Raven</v>
      </c>
      <c r="J21" t="str">
        <v>Unpaid</v>
      </c>
      <c r="K21" t="str">
        <v>1 of 3</v>
      </c>
    </row>
    <row r="22" spans="5:11" x14ac:dyDescent="0.3">
      <c r="E22" t="str">
        <v>Dining Table</v>
      </c>
      <c r="F22" t="str">
        <v>Home Setup</v>
      </c>
      <c r="G22" s="7">
        <v>410.33333333333331</v>
      </c>
      <c r="H22" s="17">
        <v>46280</v>
      </c>
      <c r="I22" t="str">
        <v>Raven</v>
      </c>
      <c r="J22" t="str">
        <v>Unpaid</v>
      </c>
      <c r="K22" t="str">
        <v>1 of 3</v>
      </c>
    </row>
  </sheetData>
  <conditionalFormatting sqref="C16">
    <cfRule type="expression" dxfId="7" priority="1">
      <formula>$C$16&gt;0</formula>
    </cfRule>
    <cfRule type="expression" dxfId="6" priority="2">
      <formula>$C$16&lt;0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A53CEE-F40B-4C43-A240-A783B62D0BF0}">
          <x14:formula1>
            <xm:f>Validations!$C$3:$C$15</xm:f>
          </x14:formula1>
          <xm:sqref>C2</xm:sqref>
        </x14:dataValidation>
        <x14:dataValidation type="list" allowBlank="1" showInputMessage="1" showErrorMessage="1" xr:uid="{51A5AA17-ED08-41B2-9AF3-F5C1CE6F4D9A}">
          <x14:formula1>
            <xm:f>Validations!$D$3:$D$33</xm:f>
          </x14:formula1>
          <xm:sqref>C3</xm:sqref>
        </x14:dataValidation>
        <x14:dataValidation type="list" allowBlank="1" showInputMessage="1" showErrorMessage="1" xr:uid="{B25D21A5-4A12-4B74-9104-C3AB4382ED6C}">
          <x14:formula1>
            <xm:f>Validations!$F$3:$F$5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F146-C908-49BF-91B4-DD4F983DE607}">
  <sheetPr codeName="Sheet2"/>
  <dimension ref="B2:H33"/>
  <sheetViews>
    <sheetView workbookViewId="0">
      <selection activeCell="D28" sqref="D28"/>
    </sheetView>
  </sheetViews>
  <sheetFormatPr defaultRowHeight="14.4" x14ac:dyDescent="0.3"/>
  <cols>
    <col min="2" max="2" width="12.88671875" bestFit="1" customWidth="1"/>
    <col min="3" max="3" width="9.109375" style="21"/>
    <col min="4" max="4" width="8.33203125" style="23" customWidth="1"/>
    <col min="8" max="8" width="11.33203125" bestFit="1" customWidth="1"/>
  </cols>
  <sheetData>
    <row r="2" spans="2:8" s="1" customFormat="1" x14ac:dyDescent="0.3">
      <c r="B2" s="1" t="s">
        <v>1</v>
      </c>
      <c r="C2" s="20" t="s">
        <v>12</v>
      </c>
      <c r="D2" s="22" t="s">
        <v>25</v>
      </c>
      <c r="E2" s="1" t="s">
        <v>26</v>
      </c>
      <c r="F2" s="1" t="s">
        <v>3</v>
      </c>
      <c r="G2" s="1" t="s">
        <v>4</v>
      </c>
      <c r="H2" s="1" t="s">
        <v>31</v>
      </c>
    </row>
    <row r="3" spans="2:8" x14ac:dyDescent="0.3">
      <c r="B3" t="s">
        <v>5</v>
      </c>
      <c r="C3" s="21" t="s">
        <v>13</v>
      </c>
      <c r="D3" s="23">
        <v>1</v>
      </c>
      <c r="E3">
        <v>2026</v>
      </c>
      <c r="F3" t="s">
        <v>27</v>
      </c>
      <c r="G3" t="s">
        <v>29</v>
      </c>
      <c r="H3">
        <v>1</v>
      </c>
    </row>
    <row r="4" spans="2:8" x14ac:dyDescent="0.3">
      <c r="B4" t="s">
        <v>6</v>
      </c>
      <c r="C4" s="21" t="s">
        <v>14</v>
      </c>
      <c r="D4" s="23">
        <v>2</v>
      </c>
      <c r="E4">
        <v>2027</v>
      </c>
      <c r="F4" t="s">
        <v>28</v>
      </c>
      <c r="G4" t="s">
        <v>30</v>
      </c>
      <c r="H4">
        <v>2</v>
      </c>
    </row>
    <row r="5" spans="2:8" x14ac:dyDescent="0.3">
      <c r="B5" t="s">
        <v>7</v>
      </c>
      <c r="C5" s="21" t="s">
        <v>15</v>
      </c>
      <c r="D5" s="23">
        <v>3</v>
      </c>
      <c r="E5">
        <v>2028</v>
      </c>
      <c r="H5">
        <v>3</v>
      </c>
    </row>
    <row r="6" spans="2:8" x14ac:dyDescent="0.3">
      <c r="B6" t="s">
        <v>8</v>
      </c>
      <c r="C6" s="21" t="s">
        <v>16</v>
      </c>
      <c r="D6" s="23">
        <v>4</v>
      </c>
      <c r="E6">
        <v>2029</v>
      </c>
      <c r="H6">
        <v>4</v>
      </c>
    </row>
    <row r="7" spans="2:8" x14ac:dyDescent="0.3">
      <c r="B7" t="s">
        <v>9</v>
      </c>
      <c r="C7" s="21" t="s">
        <v>17</v>
      </c>
      <c r="D7" s="23">
        <v>5</v>
      </c>
      <c r="E7">
        <v>2030</v>
      </c>
      <c r="H7">
        <v>5</v>
      </c>
    </row>
    <row r="8" spans="2:8" x14ac:dyDescent="0.3">
      <c r="B8" t="s">
        <v>10</v>
      </c>
      <c r="C8" s="21" t="s">
        <v>18</v>
      </c>
      <c r="D8" s="23">
        <v>6</v>
      </c>
      <c r="H8">
        <v>6</v>
      </c>
    </row>
    <row r="9" spans="2:8" x14ac:dyDescent="0.3">
      <c r="B9" t="s">
        <v>11</v>
      </c>
      <c r="C9" s="21" t="s">
        <v>19</v>
      </c>
      <c r="D9" s="23">
        <v>7</v>
      </c>
      <c r="H9">
        <v>7</v>
      </c>
    </row>
    <row r="10" spans="2:8" x14ac:dyDescent="0.3">
      <c r="B10" t="s">
        <v>80</v>
      </c>
      <c r="C10" s="21" t="s">
        <v>20</v>
      </c>
      <c r="D10" s="23">
        <v>8</v>
      </c>
      <c r="H10">
        <v>8</v>
      </c>
    </row>
    <row r="11" spans="2:8" x14ac:dyDescent="0.3">
      <c r="B11" t="s">
        <v>81</v>
      </c>
      <c r="C11" s="21" t="s">
        <v>21</v>
      </c>
      <c r="D11" s="23">
        <v>9</v>
      </c>
      <c r="H11">
        <v>9</v>
      </c>
    </row>
    <row r="12" spans="2:8" x14ac:dyDescent="0.3">
      <c r="C12" s="21" t="s">
        <v>22</v>
      </c>
      <c r="D12" s="23">
        <v>10</v>
      </c>
      <c r="H12">
        <v>10</v>
      </c>
    </row>
    <row r="13" spans="2:8" x14ac:dyDescent="0.3">
      <c r="C13" s="21" t="s">
        <v>23</v>
      </c>
      <c r="D13" s="23">
        <v>11</v>
      </c>
      <c r="H13">
        <v>11</v>
      </c>
    </row>
    <row r="14" spans="2:8" x14ac:dyDescent="0.3">
      <c r="C14" s="21" t="s">
        <v>24</v>
      </c>
      <c r="D14" s="23">
        <v>12</v>
      </c>
      <c r="H14">
        <v>12</v>
      </c>
    </row>
    <row r="15" spans="2:8" x14ac:dyDescent="0.3">
      <c r="D15" s="23">
        <v>13</v>
      </c>
    </row>
    <row r="16" spans="2:8" x14ac:dyDescent="0.3">
      <c r="D16" s="23">
        <v>14</v>
      </c>
    </row>
    <row r="17" spans="4:4" x14ac:dyDescent="0.3">
      <c r="D17" s="23">
        <v>15</v>
      </c>
    </row>
    <row r="18" spans="4:4" x14ac:dyDescent="0.3">
      <c r="D18" s="23">
        <v>16</v>
      </c>
    </row>
    <row r="19" spans="4:4" x14ac:dyDescent="0.3">
      <c r="D19" s="23">
        <v>17</v>
      </c>
    </row>
    <row r="20" spans="4:4" x14ac:dyDescent="0.3">
      <c r="D20" s="23">
        <v>18</v>
      </c>
    </row>
    <row r="21" spans="4:4" x14ac:dyDescent="0.3">
      <c r="D21" s="23">
        <v>19</v>
      </c>
    </row>
    <row r="22" spans="4:4" x14ac:dyDescent="0.3">
      <c r="D22" s="23">
        <v>20</v>
      </c>
    </row>
    <row r="23" spans="4:4" x14ac:dyDescent="0.3">
      <c r="D23" s="23">
        <v>21</v>
      </c>
    </row>
    <row r="24" spans="4:4" x14ac:dyDescent="0.3">
      <c r="D24" s="23">
        <v>22</v>
      </c>
    </row>
    <row r="25" spans="4:4" x14ac:dyDescent="0.3">
      <c r="D25" s="23">
        <v>23</v>
      </c>
    </row>
    <row r="26" spans="4:4" x14ac:dyDescent="0.3">
      <c r="D26" s="23">
        <v>24</v>
      </c>
    </row>
    <row r="27" spans="4:4" x14ac:dyDescent="0.3">
      <c r="D27" s="23">
        <v>25</v>
      </c>
    </row>
    <row r="28" spans="4:4" x14ac:dyDescent="0.3">
      <c r="D28" s="23">
        <v>26</v>
      </c>
    </row>
    <row r="29" spans="4:4" x14ac:dyDescent="0.3">
      <c r="D29" s="23">
        <v>27</v>
      </c>
    </row>
    <row r="30" spans="4:4" x14ac:dyDescent="0.3">
      <c r="D30" s="23">
        <v>28</v>
      </c>
    </row>
    <row r="31" spans="4:4" x14ac:dyDescent="0.3">
      <c r="D31" s="23">
        <v>29</v>
      </c>
    </row>
    <row r="32" spans="4:4" x14ac:dyDescent="0.3">
      <c r="D32" s="23">
        <v>30</v>
      </c>
    </row>
    <row r="33" spans="4:4" x14ac:dyDescent="0.3">
      <c r="D33" s="23">
        <v>31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Input</vt:lpstr>
      <vt:lpstr>Calculator</vt:lpstr>
      <vt:lpstr>Validations</vt:lpstr>
      <vt:lpstr>Budget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Hexter Riego</dc:creator>
  <cp:lastModifiedBy>Hexter Riego</cp:lastModifiedBy>
  <dcterms:created xsi:type="dcterms:W3CDTF">2026-08-06T19:47:06Z</dcterms:created>
  <dcterms:modified xsi:type="dcterms:W3CDTF">2026-08-14T16:56:02Z</dcterms:modified>
</cp:coreProperties>
</file>